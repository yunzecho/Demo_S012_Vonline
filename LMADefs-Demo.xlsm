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_Models\Demo_S012_Vonline\"/>
    </mc:Choice>
  </mc:AlternateContent>
  <xr:revisionPtr revIDLastSave="0" documentId="13_ncr:1_{426B5884-BC33-49FE-9C67-CEAFB89497F9}" xr6:coauthVersionLast="47" xr6:coauthVersionMax="47" xr10:uidLastSave="{00000000-0000-0000-0000-000000000000}"/>
  <bookViews>
    <workbookView xWindow="-120" yWindow="-120" windowWidth="29040" windowHeight="17640" activeTab="3" xr2:uid="{00000000-000D-0000-FFFF-FFFF00000000}"/>
  </bookViews>
  <sheets>
    <sheet name="ScenMap" sheetId="56" r:id="rId1"/>
    <sheet name="TS_Defs" sheetId="27" r:id="rId2"/>
    <sheet name="PSet_MAP" sheetId="57" r:id="rId3"/>
    <sheet name="varbl map" sheetId="64" r:id="rId4"/>
    <sheet name="CName_MAP" sheetId="58" r:id="rId5"/>
    <sheet name="ATS" sheetId="63" r:id="rId6"/>
    <sheet name="UnitConv" sheetId="59" r:id="rId7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64" l="1"/>
  <c r="B34" i="64"/>
  <c r="B33" i="64"/>
  <c r="B32" i="64"/>
  <c r="B31" i="64"/>
  <c r="B30" i="64"/>
  <c r="B29" i="64"/>
  <c r="B28" i="64"/>
  <c r="B27" i="64"/>
  <c r="B26" i="64"/>
  <c r="B25" i="64"/>
  <c r="B24" i="64"/>
  <c r="B18" i="64"/>
  <c r="B17" i="64"/>
  <c r="B16" i="64"/>
  <c r="B15" i="64"/>
  <c r="B14" i="64"/>
  <c r="B13" i="64"/>
  <c r="B12" i="64"/>
  <c r="B11" i="64"/>
  <c r="B10" i="64"/>
  <c r="F23" i="64"/>
  <c r="C23" i="64" s="1"/>
  <c r="F22" i="64"/>
  <c r="B22" i="64" s="1"/>
  <c r="F21" i="64"/>
  <c r="C21" i="64" s="1"/>
  <c r="F20" i="64"/>
  <c r="C20" i="64" s="1"/>
  <c r="F19" i="64"/>
  <c r="B19" i="64" s="1"/>
  <c r="C18" i="64"/>
  <c r="C17" i="64"/>
  <c r="C16" i="64"/>
  <c r="C15" i="64"/>
  <c r="C14" i="64"/>
  <c r="C13" i="64"/>
  <c r="C12" i="64"/>
  <c r="C11" i="64"/>
  <c r="C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F5" i="57"/>
  <c r="I5" i="56"/>
  <c r="R18" i="27"/>
  <c r="R17" i="27"/>
  <c r="R16" i="27"/>
  <c r="R15" i="27"/>
  <c r="R14" i="27"/>
  <c r="Q15" i="27"/>
  <c r="Q16" i="27"/>
  <c r="Q17" i="27"/>
  <c r="Q18" i="27"/>
  <c r="Q14" i="27"/>
  <c r="F10" i="57"/>
  <c r="F11" i="57" s="1"/>
  <c r="F12" i="57" s="1"/>
  <c r="F13" i="57" s="1"/>
  <c r="F14" i="57" s="1"/>
  <c r="F15" i="57" s="1"/>
  <c r="F16" i="57" s="1"/>
  <c r="F17" i="57" s="1"/>
  <c r="F18" i="57" s="1"/>
  <c r="E3" i="27" s="1"/>
  <c r="F9" i="57"/>
  <c r="F8" i="57"/>
  <c r="B4" i="27"/>
  <c r="B5" i="27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C16" i="57"/>
  <c r="C9" i="57"/>
  <c r="C15" i="57"/>
  <c r="C14" i="57"/>
  <c r="C13" i="57"/>
  <c r="C4" i="57"/>
  <c r="C5" i="57"/>
  <c r="C6" i="57"/>
  <c r="C7" i="57"/>
  <c r="C8" i="57"/>
  <c r="C10" i="57"/>
  <c r="C11" i="57"/>
  <c r="C12" i="57"/>
  <c r="C17" i="57"/>
  <c r="C18" i="57"/>
  <c r="C3" i="57"/>
  <c r="F3" i="57"/>
  <c r="F4" i="57" s="1"/>
  <c r="B21" i="64" l="1"/>
  <c r="C22" i="64"/>
  <c r="B23" i="64"/>
  <c r="B20" i="64"/>
  <c r="C19" i="64"/>
  <c r="F6" i="57"/>
  <c r="F7" i="57" s="1"/>
  <c r="E14" i="27" s="1"/>
  <c r="E15" i="27" s="1"/>
  <c r="E5" i="27"/>
  <c r="E9" i="27"/>
  <c r="E11" i="27"/>
  <c r="E6" i="27"/>
  <c r="E7" i="27"/>
  <c r="E4" i="27"/>
  <c r="E8" i="27"/>
  <c r="E16" i="27" l="1"/>
  <c r="E17" i="27"/>
  <c r="E18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U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2/11/2012
Name of the aggregated Region
</t>
        </r>
      </text>
    </comment>
  </commentList>
</comments>
</file>

<file path=xl/sharedStrings.xml><?xml version="1.0" encoding="utf-8"?>
<sst xmlns="http://schemas.openxmlformats.org/spreadsheetml/2006/main" count="249" uniqueCount="154">
  <si>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</si>
  <si>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</si>
  <si>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</si>
  <si>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</si>
  <si>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</si>
  <si>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</si>
  <si>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</si>
  <si>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</si>
  <si>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</si>
  <si>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</si>
  <si>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</si>
  <si>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</si>
  <si>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</si>
  <si>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Varbl</t>
  </si>
  <si>
    <t>Commercial</t>
  </si>
  <si>
    <t>Residential</t>
  </si>
  <si>
    <t>VAR_FOUT</t>
  </si>
  <si>
    <t>kt</t>
  </si>
  <si>
    <t>TS</t>
  </si>
  <si>
    <t>ELC</t>
  </si>
  <si>
    <t>VAR_CAP</t>
  </si>
  <si>
    <t>GW</t>
  </si>
  <si>
    <t>Scen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</si>
  <si>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</si>
  <si>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</si>
  <si>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</si>
  <si>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</si>
  <si>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</si>
  <si>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</si>
  <si>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</si>
  <si>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</si>
  <si>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</si>
  <si>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</si>
  <si>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</si>
  <si>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</si>
  <si>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</si>
  <si>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</si>
  <si>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</si>
  <si>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</si>
  <si>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</si>
  <si>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</si>
  <si>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</si>
  <si>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</si>
  <si>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</si>
  <si>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</si>
  <si>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</si>
  <si>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</si>
  <si>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</si>
  <si>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</si>
  <si>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</si>
  <si>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</si>
  <si>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</si>
  <si>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</si>
  <si>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</si>
  <si>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</si>
  <si>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KSA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</si>
  <si>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</si>
  <si>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</si>
  <si>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</si>
  <si>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</si>
  <si>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</si>
  <si>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</si>
  <si>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</si>
  <si>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</si>
  <si>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</si>
  <si>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</si>
  <si>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</si>
  <si>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</si>
  <si>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</si>
  <si>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</si>
  <si>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</si>
  <si>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</si>
  <si>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</si>
  <si>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</si>
  <si>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</si>
  <si>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</si>
  <si>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</si>
  <si>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</si>
  <si>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</si>
  <si>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</si>
  <si>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</si>
  <si>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CO2</t>
  </si>
  <si>
    <t>C</t>
  </si>
  <si>
    <t>ELEBIO</t>
  </si>
  <si>
    <t>ELECOA</t>
  </si>
  <si>
    <t>ELEGAS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</si>
  <si>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</si>
  <si>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</si>
  <si>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</si>
  <si>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</si>
  <si>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</si>
  <si>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</si>
  <si>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</si>
  <si>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</si>
  <si>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</si>
  <si>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</si>
  <si>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</si>
  <si>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</si>
  <si>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</si>
  <si>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</si>
  <si>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</si>
  <si>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</si>
  <si>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</si>
  <si>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</si>
  <si>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</si>
  <si>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</si>
  <si>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</si>
  <si>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</si>
  <si>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</si>
  <si>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</si>
  <si>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</si>
  <si>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</si>
  <si>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</si>
  <si>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</si>
  <si>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</si>
  <si>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</si>
  <si>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</si>
  <si>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</si>
  <si>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</si>
  <si>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</si>
  <si>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</si>
  <si>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</si>
  <si>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</si>
  <si>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</si>
  <si>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</si>
  <si>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</si>
  <si>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</si>
  <si>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FUEL_AGR</t>
  </si>
  <si>
    <t>FUEL_COM</t>
  </si>
  <si>
    <t>FUEL_IND</t>
  </si>
  <si>
    <t>FUEL_RES</t>
  </si>
  <si>
    <t>FUEL_TRA</t>
  </si>
  <si>
    <t>~varbl_map</t>
  </si>
  <si>
    <t>dimension</t>
  </si>
  <si>
    <t>name</t>
  </si>
  <si>
    <t>description</t>
  </si>
  <si>
    <t>sector</t>
  </si>
  <si>
    <t>tech</t>
  </si>
  <si>
    <t>fuel</t>
  </si>
  <si>
    <t>attribute</t>
  </si>
  <si>
    <t>Capacity</t>
  </si>
  <si>
    <t>New Cap</t>
  </si>
  <si>
    <t>Generation</t>
  </si>
  <si>
    <t>Emissions</t>
  </si>
  <si>
    <t>Fuel Consumption</t>
  </si>
  <si>
    <t>Prices</t>
  </si>
  <si>
    <t>Inv Cost</t>
  </si>
  <si>
    <t>Final Energy</t>
  </si>
  <si>
    <t>co2int_</t>
  </si>
  <si>
    <t>eff_</t>
  </si>
  <si>
    <t>cf_</t>
  </si>
  <si>
    <t>CO2 intensity</t>
  </si>
  <si>
    <t>Efficiency</t>
  </si>
  <si>
    <t>Capacity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</si>
</sst>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19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0" fontId="18" fillId="3" borderId="0" xfId="0" applyFont="1" applyFill="1"/>
    <xf numFmtId="0" fontId="0" fillId="0" borderId="0" xfId="0"/>
    <xf numFmtId="0" fontId="19" fillId="4" borderId="0" xfId="0" applyFont="1" applyFill="1"/>
    <xf numFmtId="0" fontId="17" fillId="2" borderId="0" xfId="6" applyAlignment="1">
      <alignment horizontal="center"/>
    </xf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6"/>
    <xf numFmtId="0" fontId="20" fillId="0" borderId="0" xfId="0" applyFont="1"/>
    <xf numFmtId="0" fontId="0" fillId="0" borderId="0" xfId="0" applyFont="1"/>
    <xf numFmtId="0" fontId="16" fillId="0" borderId="1" xfId="5"/>
  </cellXfs>
  <cellStyles count="19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7" xr:uid="{00000000-0005-0000-0000-000011000000}"/>
    <cellStyle name="Standard_Sce_D_Extraction" xfId="18" xr:uid="{00000000-0005-0000-0000-00001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I5"/>
  <sheetViews>
    <sheetView zoomScaleNormal="100" workbookViewId="0">
      <selection activeCell="I6" sqref="I6"/>
    </sheetView>
  </sheetViews>
  <sheetFormatPr defaultRowHeight="15"/>
  <cols>
    <col min="1" max="1" width="10" style="7" bestFit="1" customWidth="1"/>
    <col min="2" max="2" width="8.42578125" style="7" bestFit="1" customWidth="1"/>
    <col min="3" max="5" width="24.85546875" style="7" bestFit="1" customWidth="1"/>
    <col min="6" max="6" width="9.140625" style="7"/>
    <col min="7" max="7" width="20.28515625" style="7" bestFit="1" customWidth="1"/>
    <col min="8" max="8" width="23.42578125" style="7" bestFit="1" customWidth="1"/>
    <col min="9" max="9" width="11" style="7" bestFit="1" customWidth="1"/>
    <col min="10" max="16384" width="9.140625" style="7"/>
  </cols>
  <sheetData>
    <row r="1" spans="1:9">
      <c r="B1" s="7" t="s">
        <v>86</v>
      </c>
      <c r="I1" s="7" t="s">
        <v>82</v>
      </c>
    </row>
    <row r="2" spans="1:9">
      <c r="I2" s="7" t="s">
        <v>81</v>
      </c>
    </row>
    <row r="5" spans="1:9">
      <c r="A5" s="7" t="s">
        <v>25</v>
      </c>
      <c r="B5" s="7" t="s">
        <v>35</v>
      </c>
      <c r="C5" s="7" t="s">
        <v>2</v>
      </c>
      <c r="D5" s="7" t="s">
        <v>1</v>
      </c>
      <c r="E5" s="7" t="s">
        <v>24</v>
      </c>
      <c r="H5" s="7" t="s">
        <v>22</v>
      </c>
      <c r="I5" s="7" t="str">
        <f>"sg_"&amp;I2</f>
        <v>sg_CO2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D19"/>
  <sheetViews>
    <sheetView zoomScaleNormal="100" workbookViewId="0">
      <pane ySplit="2" topLeftCell="A3" activePane="bottomLeft" state="frozen"/>
      <selection pane="bottomLeft" activeCell="M7" sqref="M7"/>
    </sheetView>
  </sheetViews>
  <sheetFormatPr defaultRowHeight="15"/>
  <cols>
    <col min="1" max="1" width="9.140625" style="5"/>
    <col min="2" max="2" width="6" style="2" bestFit="1" customWidth="1"/>
    <col min="3" max="3" width="13.85546875" style="2" bestFit="1" customWidth="1"/>
    <col min="4" max="4" width="10.85546875" style="5" bestFit="1" customWidth="1"/>
    <col min="5" max="6" width="16.85546875" style="2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7.28515625" style="2" bestFit="1" customWidth="1"/>
    <col min="11" max="11" width="12.7109375" style="2" bestFit="1" customWidth="1"/>
    <col min="12" max="12" width="8.5703125" style="5" bestFit="1" customWidth="1"/>
    <col min="13" max="13" width="8.7109375" style="2" bestFit="1" customWidth="1"/>
    <col min="14" max="14" width="6.85546875" style="2" bestFit="1" customWidth="1"/>
    <col min="15" max="15" width="9.28515625" style="7" bestFit="1" customWidth="1"/>
    <col min="16" max="16" width="27" style="2" bestFit="1" customWidth="1"/>
    <col min="17" max="17" width="23.7109375" style="5" bestFit="1" customWidth="1"/>
    <col min="18" max="18" width="38.28515625" style="2" customWidth="1"/>
    <col min="19" max="19" width="2" style="2" bestFit="1" customWidth="1"/>
    <col min="20" max="20" width="11.5703125" style="2" bestFit="1" customWidth="1"/>
    <col min="21" max="24" width="9.140625" style="2"/>
    <col min="25" max="25" width="14.42578125" style="2" bestFit="1" customWidth="1"/>
    <col min="26" max="26" width="12.7109375" style="2" bestFit="1" customWidth="1"/>
    <col min="27" max="27" width="107.7109375" style="2" bestFit="1" customWidth="1"/>
    <col min="28" max="16384" width="9.140625" style="2"/>
  </cols>
  <sheetData>
    <row r="1" spans="1:30" s="5" customFormat="1">
      <c r="A1" s="5" t="s">
        <v>36</v>
      </c>
      <c r="O1" s="7"/>
      <c r="Y1"/>
      <c r="Z1"/>
      <c r="AA1"/>
      <c r="AB1"/>
      <c r="AC1"/>
      <c r="AD1"/>
    </row>
    <row r="2" spans="1:30">
      <c r="A2" s="5" t="s">
        <v>39</v>
      </c>
      <c r="B2" s="1" t="s">
        <v>25</v>
      </c>
      <c r="C2" s="1" t="s">
        <v>26</v>
      </c>
      <c r="D2" s="1" t="s">
        <v>37</v>
      </c>
      <c r="E2" s="1" t="s">
        <v>27</v>
      </c>
      <c r="F2" s="1" t="s">
        <v>28</v>
      </c>
      <c r="G2" s="1" t="s">
        <v>32</v>
      </c>
      <c r="H2" s="1" t="s">
        <v>33</v>
      </c>
      <c r="I2" s="1" t="s">
        <v>34</v>
      </c>
      <c r="J2" s="1" t="s">
        <v>29</v>
      </c>
      <c r="K2" s="1" t="s">
        <v>30</v>
      </c>
      <c r="L2" s="1" t="s">
        <v>31</v>
      </c>
      <c r="M2" s="1" t="s">
        <v>0</v>
      </c>
      <c r="N2" s="1" t="s">
        <v>18</v>
      </c>
      <c r="O2" s="1" t="s">
        <v>40</v>
      </c>
      <c r="P2" s="1" t="s">
        <v>2</v>
      </c>
      <c r="Q2" s="1" t="s">
        <v>1</v>
      </c>
      <c r="R2" s="1" t="s">
        <v>24</v>
      </c>
      <c r="T2" s="3"/>
      <c r="U2" s="4" t="s">
        <v>55</v>
      </c>
      <c r="Y2"/>
      <c r="Z2"/>
      <c r="AA2"/>
      <c r="AB2"/>
      <c r="AC2"/>
      <c r="AD2"/>
    </row>
    <row r="3" spans="1:30">
      <c r="B3" s="7">
        <v>1</v>
      </c>
      <c r="C3" s="2" t="s">
        <v>20</v>
      </c>
      <c r="E3" s="9" t="str">
        <f>PSet_MAP!$F$18</f>
        <v>ELEBIO,ELECOA,ELEELC,ELEGAS,ELEHYD,ELENUC,ELEOIL,ELESOL,ELEWIN</v>
      </c>
      <c r="M3" s="7" t="s">
        <v>21</v>
      </c>
      <c r="P3" s="2" t="s">
        <v>87</v>
      </c>
      <c r="Q3" s="5" t="s">
        <v>43</v>
      </c>
      <c r="R3" s="2" t="s">
        <v>44</v>
      </c>
      <c r="V3"/>
      <c r="W3"/>
      <c r="X3"/>
      <c r="AB3"/>
      <c r="AC3"/>
      <c r="AD3"/>
    </row>
    <row r="4" spans="1:30" s="7" customFormat="1" ht="15.75" thickBot="1">
      <c r="B4" s="7">
        <f>B3+1</f>
        <v>2</v>
      </c>
      <c r="C4" s="7" t="s">
        <v>72</v>
      </c>
      <c r="E4" s="11" t="str">
        <f t="shared" ref="E4:E9" si="0">$E$3</f>
        <v>ELEBIO,ELECOA,ELEELC,ELEGAS,ELEHYD,ELENUC,ELEOIL,ELESOL,ELEWIN</v>
      </c>
      <c r="M4" s="7" t="s">
        <v>21</v>
      </c>
      <c r="P4" s="7" t="s">
        <v>73</v>
      </c>
      <c r="Q4" s="7" t="s">
        <v>74</v>
      </c>
      <c r="R4" s="7" t="s">
        <v>75</v>
      </c>
    </row>
    <row r="5" spans="1:30" ht="16.5" thickTop="1" thickBot="1">
      <c r="B5" s="7">
        <f t="shared" ref="B5:B18" si="1">B4+1</f>
        <v>3</v>
      </c>
      <c r="C5" s="2" t="s">
        <v>16</v>
      </c>
      <c r="E5" s="11" t="str">
        <f t="shared" si="0"/>
        <v>ELEBIO,ELECOA,ELEELC,ELEGAS,ELEHYD,ELENUC,ELEOIL,ELESOL,ELEWIN</v>
      </c>
      <c r="K5" s="2" t="s">
        <v>19</v>
      </c>
      <c r="M5" s="2" t="s">
        <v>113</v>
      </c>
      <c r="P5" s="2" t="s">
        <v>80</v>
      </c>
      <c r="Q5" s="7" t="s">
        <v>46</v>
      </c>
      <c r="R5" s="7" t="s">
        <v>45</v>
      </c>
    </row>
    <row r="6" spans="1:30" s="7" customFormat="1" ht="16.5" thickTop="1" thickBot="1">
      <c r="B6" s="7">
        <f t="shared" si="1"/>
        <v>4</v>
      </c>
      <c r="C6" s="7" t="s">
        <v>16</v>
      </c>
      <c r="E6" s="11" t="str">
        <f t="shared" si="0"/>
        <v>ELEBIO,ELECOA,ELEELC,ELEGAS,ELEHYD,ELENUC,ELEOIL,ELESOL,ELEWIN</v>
      </c>
      <c r="K6" s="7" t="s">
        <v>104</v>
      </c>
      <c r="M6" s="7" t="s">
        <v>113</v>
      </c>
      <c r="P6" s="7" t="s">
        <v>106</v>
      </c>
      <c r="Q6" s="7" t="s">
        <v>107</v>
      </c>
      <c r="R6" s="7" t="s">
        <v>105</v>
      </c>
    </row>
    <row r="7" spans="1:30" ht="16.5" thickTop="1" thickBot="1">
      <c r="B7" s="7">
        <f t="shared" si="1"/>
        <v>5</v>
      </c>
      <c r="C7" s="7" t="s">
        <v>16</v>
      </c>
      <c r="D7" s="7"/>
      <c r="E7" s="11" t="str">
        <f t="shared" si="0"/>
        <v>ELEBIO,ELECOA,ELEELC,ELEGAS,ELEHYD,ELENUC,ELEOIL,ELESOL,ELEWIN</v>
      </c>
      <c r="F7" s="7"/>
      <c r="G7" s="7"/>
      <c r="H7" s="7"/>
      <c r="I7" s="7"/>
      <c r="J7" s="7"/>
      <c r="K7" s="7" t="s">
        <v>38</v>
      </c>
      <c r="L7" s="7"/>
      <c r="M7" s="7" t="s">
        <v>17</v>
      </c>
      <c r="N7" s="7"/>
      <c r="P7" s="7" t="s">
        <v>64</v>
      </c>
      <c r="Q7" s="7" t="s">
        <v>65</v>
      </c>
      <c r="R7" s="7" t="s">
        <v>66</v>
      </c>
    </row>
    <row r="8" spans="1:30" s="7" customFormat="1" ht="16.5" thickTop="1" thickBot="1">
      <c r="B8" s="7">
        <f t="shared" si="1"/>
        <v>6</v>
      </c>
      <c r="C8" s="7" t="s">
        <v>16</v>
      </c>
      <c r="E8" s="11" t="str">
        <f t="shared" si="0"/>
        <v>ELEBIO,ELECOA,ELEELC,ELEGAS,ELEHYD,ELENUC,ELEOIL,ELESOL,ELEWIN</v>
      </c>
      <c r="K8" s="7" t="s">
        <v>88</v>
      </c>
      <c r="M8" s="7" t="s">
        <v>17</v>
      </c>
      <c r="P8" s="7" t="s">
        <v>89</v>
      </c>
      <c r="Q8" s="7" t="s">
        <v>90</v>
      </c>
      <c r="R8" s="7" t="s">
        <v>91</v>
      </c>
    </row>
    <row r="9" spans="1:30" ht="16.5" thickTop="1" thickBot="1">
      <c r="B9" s="7">
        <f t="shared" si="1"/>
        <v>7</v>
      </c>
      <c r="C9" s="7" t="s">
        <v>47</v>
      </c>
      <c r="D9" s="7"/>
      <c r="E9" s="11" t="str">
        <f t="shared" si="0"/>
        <v>ELEBIO,ELECOA,ELEELC,ELEGAS,ELEHYD,ELENUC,ELEOIL,ELESOL,ELEWIN</v>
      </c>
      <c r="F9" s="7"/>
      <c r="G9" s="7"/>
      <c r="H9" s="7"/>
      <c r="I9" s="7"/>
      <c r="J9" s="7" t="s">
        <v>48</v>
      </c>
      <c r="K9" s="7"/>
      <c r="L9" s="7"/>
      <c r="M9" s="7" t="s">
        <v>113</v>
      </c>
      <c r="N9" s="7"/>
      <c r="P9" s="7" t="s">
        <v>49</v>
      </c>
      <c r="Q9" s="7" t="s">
        <v>50</v>
      </c>
      <c r="R9" s="7" t="s">
        <v>51</v>
      </c>
    </row>
    <row r="10" spans="1:30" ht="15.75" thickTop="1">
      <c r="B10" s="7">
        <f t="shared" si="1"/>
        <v>8</v>
      </c>
      <c r="C10" s="7" t="s">
        <v>54</v>
      </c>
      <c r="D10" s="7"/>
      <c r="K10" s="2" t="s">
        <v>126</v>
      </c>
      <c r="M10" s="10" t="s">
        <v>125</v>
      </c>
      <c r="P10" s="7" t="s">
        <v>76</v>
      </c>
      <c r="Q10" s="7" t="s">
        <v>77</v>
      </c>
      <c r="R10" s="7" t="s">
        <v>78</v>
      </c>
    </row>
    <row r="11" spans="1:30" ht="15.75" thickBot="1">
      <c r="B11" s="7">
        <f t="shared" si="1"/>
        <v>9</v>
      </c>
      <c r="C11" s="2" t="s">
        <v>56</v>
      </c>
      <c r="E11" s="11" t="str">
        <f>$E$3</f>
        <v>ELEBIO,ELECOA,ELEELC,ELEGAS,ELEHYD,ELENUC,ELEOIL,ELESOL,ELEWIN</v>
      </c>
      <c r="M11" s="10" t="s">
        <v>114</v>
      </c>
      <c r="P11" s="7" t="s">
        <v>57</v>
      </c>
      <c r="Q11" s="7" t="s">
        <v>58</v>
      </c>
      <c r="R11" s="7" t="s">
        <v>59</v>
      </c>
    </row>
    <row r="12" spans="1:30" ht="15.75" thickTop="1">
      <c r="B12" s="7">
        <f t="shared" si="1"/>
        <v>10</v>
      </c>
      <c r="C12" s="7" t="s">
        <v>16</v>
      </c>
      <c r="E12" s="2" t="s">
        <v>93</v>
      </c>
      <c r="K12" s="2" t="s">
        <v>19</v>
      </c>
      <c r="M12" s="7" t="s">
        <v>113</v>
      </c>
      <c r="P12" s="2" t="s">
        <v>96</v>
      </c>
      <c r="Q12" s="7" t="s">
        <v>94</v>
      </c>
      <c r="R12" s="2" t="s">
        <v>98</v>
      </c>
    </row>
    <row r="13" spans="1:30">
      <c r="B13" s="7">
        <f t="shared" si="1"/>
        <v>11</v>
      </c>
      <c r="C13" s="7" t="s">
        <v>47</v>
      </c>
      <c r="E13" s="7" t="s">
        <v>93</v>
      </c>
      <c r="K13" s="7" t="s">
        <v>19</v>
      </c>
      <c r="M13" s="7" t="s">
        <v>113</v>
      </c>
      <c r="P13" s="7" t="s">
        <v>97</v>
      </c>
      <c r="Q13" s="7" t="s">
        <v>95</v>
      </c>
      <c r="R13" s="2" t="s">
        <v>99</v>
      </c>
    </row>
    <row r="14" spans="1:30">
      <c r="B14" s="7">
        <f t="shared" si="1"/>
        <v>12</v>
      </c>
      <c r="C14" s="7" t="s">
        <v>47</v>
      </c>
      <c r="E14" s="2" t="str">
        <f>PSet_MAP!$F$7</f>
        <v>FUEL_AGR,FUEL_COM,FUEL_IND,FUEL_RES,FUEL_TRA</v>
      </c>
      <c r="J14" s="2" t="s">
        <v>115</v>
      </c>
      <c r="M14" s="7" t="s">
        <v>113</v>
      </c>
      <c r="P14" s="2" t="s">
        <v>120</v>
      </c>
      <c r="Q14" s="5" t="str">
        <f>MID(P14,4,20)&amp;".FE"</f>
        <v>&lt;Pset&gt;-Elec.FE</v>
      </c>
      <c r="R14" s="2" t="str">
        <f>"FE  &lt;Pset&gt; - "&amp;MID(P14,11,20)</f>
        <v>FE  &lt;Pset&gt; - Elec</v>
      </c>
    </row>
    <row r="15" spans="1:30" ht="15.75" thickBot="1">
      <c r="B15" s="7">
        <f t="shared" si="1"/>
        <v>13</v>
      </c>
      <c r="C15" s="7" t="s">
        <v>47</v>
      </c>
      <c r="E15" s="11" t="str">
        <f>$E$14</f>
        <v>FUEL_AGR,FUEL_COM,FUEL_IND,FUEL_RES,FUEL_TRA</v>
      </c>
      <c r="J15" s="2" t="s">
        <v>116</v>
      </c>
      <c r="M15" s="7" t="s">
        <v>113</v>
      </c>
      <c r="P15" s="7" t="s">
        <v>121</v>
      </c>
      <c r="Q15" s="7" t="str">
        <f>MID(P15,4,20)&amp;".FE"</f>
        <v>&lt;Pset&gt;-Gas.FE</v>
      </c>
      <c r="R15" s="7" t="str">
        <f>"FE  &lt;Pset&gt; - "&amp;MID(P15,11,20)</f>
        <v>FE  &lt;Pset&gt; - Gas</v>
      </c>
    </row>
    <row r="16" spans="1:30" ht="16.5" thickTop="1" thickBot="1">
      <c r="B16" s="7">
        <f t="shared" si="1"/>
        <v>14</v>
      </c>
      <c r="C16" s="7" t="s">
        <v>47</v>
      </c>
      <c r="E16" s="11" t="str">
        <f>$E$14</f>
        <v>FUEL_AGR,FUEL_COM,FUEL_IND,FUEL_RES,FUEL_TRA</v>
      </c>
      <c r="J16" s="2" t="s">
        <v>117</v>
      </c>
      <c r="M16" s="7" t="s">
        <v>113</v>
      </c>
      <c r="P16" s="7" t="s">
        <v>122</v>
      </c>
      <c r="Q16" s="7" t="str">
        <f>MID(P16,4,20)&amp;".FE"</f>
        <v>&lt;Pset&gt;-Oil.FE</v>
      </c>
      <c r="R16" s="7" t="str">
        <f>"FE  &lt;Pset&gt; - "&amp;MID(P16,11,20)</f>
        <v>FE  &lt;Pset&gt; - Oil</v>
      </c>
    </row>
    <row r="17" spans="2:18" ht="16.5" thickTop="1" thickBot="1">
      <c r="B17" s="7">
        <f t="shared" si="1"/>
        <v>15</v>
      </c>
      <c r="C17" s="7" t="s">
        <v>47</v>
      </c>
      <c r="E17" s="11" t="str">
        <f>$E$14</f>
        <v>FUEL_AGR,FUEL_COM,FUEL_IND,FUEL_RES,FUEL_TRA</v>
      </c>
      <c r="J17" s="2" t="s">
        <v>118</v>
      </c>
      <c r="M17" s="7" t="s">
        <v>113</v>
      </c>
      <c r="P17" s="7" t="s">
        <v>123</v>
      </c>
      <c r="Q17" s="7" t="str">
        <f>MID(P17,4,20)&amp;".FE"</f>
        <v>&lt;Pset&gt;-Rnw.FE</v>
      </c>
      <c r="R17" s="7" t="str">
        <f>"FE  &lt;Pset&gt; - "&amp;MID(P17,11,20)</f>
        <v>FE  &lt;Pset&gt; - Rnw</v>
      </c>
    </row>
    <row r="18" spans="2:18" ht="16.5" thickTop="1" thickBot="1">
      <c r="B18" s="7">
        <f t="shared" si="1"/>
        <v>16</v>
      </c>
      <c r="C18" s="7" t="s">
        <v>47</v>
      </c>
      <c r="E18" s="11" t="str">
        <f>$E$14</f>
        <v>FUEL_AGR,FUEL_COM,FUEL_IND,FUEL_RES,FUEL_TRA</v>
      </c>
      <c r="J18" s="2" t="s">
        <v>119</v>
      </c>
      <c r="M18" s="7" t="s">
        <v>113</v>
      </c>
      <c r="P18" s="7" t="s">
        <v>124</v>
      </c>
      <c r="Q18" s="7" t="str">
        <f>MID(P18,4,20)&amp;".FE"</f>
        <v>&lt;Pset&gt;-Solid.FE</v>
      </c>
      <c r="R18" s="7" t="str">
        <f>"FE  &lt;Pset&gt; - "&amp;MID(P18,11,20)</f>
        <v>FE  &lt;Pset&gt; - Solid</v>
      </c>
    </row>
    <row r="19" spans="2:18" ht="15.75" thickTop="1"/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18"/>
  <sheetViews>
    <sheetView workbookViewId="0">
      <selection activeCell="B3" sqref="B3:B18"/>
    </sheetView>
  </sheetViews>
  <sheetFormatPr defaultRowHeight="15"/>
  <cols>
    <col min="1" max="1" width="24.28515625" style="7" bestFit="1" customWidth="1"/>
    <col min="2" max="2" width="23.28515625" style="7" bestFit="1" customWidth="1"/>
    <col min="3" max="3" width="37.1406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6">
      <c r="A1" s="1" t="s">
        <v>41</v>
      </c>
    </row>
    <row r="2" spans="1:6">
      <c r="A2" s="7" t="s">
        <v>42</v>
      </c>
      <c r="B2" s="7" t="s">
        <v>1</v>
      </c>
      <c r="C2" s="7" t="s">
        <v>24</v>
      </c>
    </row>
    <row r="3" spans="1:6">
      <c r="A3" s="7" t="s">
        <v>127</v>
      </c>
      <c r="B3" s="7" t="s">
        <v>23</v>
      </c>
      <c r="C3" s="7" t="str">
        <f>B3</f>
        <v>Agriculture</v>
      </c>
      <c r="F3" s="8" t="str">
        <f>A3</f>
        <v>FUEL_AGR</v>
      </c>
    </row>
    <row r="4" spans="1:6">
      <c r="A4" s="7" t="s">
        <v>128</v>
      </c>
      <c r="B4" s="7" t="s">
        <v>14</v>
      </c>
      <c r="C4" s="7" t="str">
        <f t="shared" ref="C4:C18" si="0">B4</f>
        <v>Commercial</v>
      </c>
      <c r="F4" s="8" t="str">
        <f>F3&amp;","&amp;A4</f>
        <v>FUEL_AGR,FUEL_COM</v>
      </c>
    </row>
    <row r="5" spans="1:6">
      <c r="A5" s="7" t="s">
        <v>129</v>
      </c>
      <c r="B5" s="7" t="s">
        <v>6</v>
      </c>
      <c r="C5" s="7" t="str">
        <f t="shared" si="0"/>
        <v>Industry</v>
      </c>
      <c r="F5" s="8" t="str">
        <f>F4&amp;","&amp;A5</f>
        <v>FUEL_AGR,FUEL_COM,FUEL_IND</v>
      </c>
    </row>
    <row r="6" spans="1:6">
      <c r="A6" s="7" t="s">
        <v>130</v>
      </c>
      <c r="B6" s="7" t="s">
        <v>15</v>
      </c>
      <c r="C6" s="7" t="str">
        <f t="shared" si="0"/>
        <v>Residential</v>
      </c>
      <c r="F6" s="8" t="str">
        <f>F5&amp;","&amp;A6</f>
        <v>FUEL_AGR,FUEL_COM,FUEL_IND,FUEL_RES</v>
      </c>
    </row>
    <row r="7" spans="1:6">
      <c r="A7" s="7" t="s">
        <v>131</v>
      </c>
      <c r="B7" s="7" t="s">
        <v>7</v>
      </c>
      <c r="C7" s="7" t="str">
        <f t="shared" si="0"/>
        <v>Transport</v>
      </c>
      <c r="F7" s="8" t="str">
        <f>F6&amp;","&amp;A7</f>
        <v>FUEL_AGR,FUEL_COM,FUEL_IND,FUEL_RES,FUEL_TRA</v>
      </c>
    </row>
    <row r="8" spans="1:6">
      <c r="A8" s="7" t="s">
        <v>108</v>
      </c>
      <c r="B8" s="7" t="s">
        <v>109</v>
      </c>
      <c r="C8" s="7" t="str">
        <f t="shared" si="0"/>
        <v>Trade</v>
      </c>
      <c r="F8" s="8" t="str">
        <f>A8</f>
        <v>TRD_ENDO</v>
      </c>
    </row>
    <row r="9" spans="1:6">
      <c r="A9" s="7" t="s">
        <v>110</v>
      </c>
      <c r="B9" s="7" t="s">
        <v>111</v>
      </c>
      <c r="C9" s="7" t="str">
        <f t="shared" si="0"/>
        <v>DumImp</v>
      </c>
      <c r="F9" s="8" t="str">
        <f>A9</f>
        <v>DUMIMP</v>
      </c>
    </row>
    <row r="10" spans="1:6">
      <c r="A10" s="7" t="s">
        <v>83</v>
      </c>
      <c r="B10" s="7" t="s">
        <v>3</v>
      </c>
      <c r="C10" s="7" t="str">
        <f t="shared" si="0"/>
        <v>Bio</v>
      </c>
      <c r="F10" s="8" t="str">
        <f>A10</f>
        <v>ELEBIO</v>
      </c>
    </row>
    <row r="11" spans="1:6">
      <c r="A11" s="7" t="s">
        <v>84</v>
      </c>
      <c r="B11" s="7" t="s">
        <v>4</v>
      </c>
      <c r="C11" s="7" t="str">
        <f t="shared" si="0"/>
        <v>Coal</v>
      </c>
      <c r="F11" s="8" t="str">
        <f t="shared" ref="F11:F18" si="1">F10&amp;","&amp;A11</f>
        <v>ELEBIO,ELECOA</v>
      </c>
    </row>
    <row r="12" spans="1:6">
      <c r="A12" s="7" t="s">
        <v>112</v>
      </c>
      <c r="B12" s="7" t="s">
        <v>92</v>
      </c>
      <c r="C12" s="7" t="str">
        <f t="shared" si="0"/>
        <v>Storage</v>
      </c>
      <c r="F12" s="8" t="str">
        <f t="shared" si="1"/>
        <v>ELEBIO,ELECOA,ELEELC</v>
      </c>
    </row>
    <row r="13" spans="1:6">
      <c r="A13" s="7" t="s">
        <v>85</v>
      </c>
      <c r="B13" s="7" t="s">
        <v>5</v>
      </c>
      <c r="C13" s="7" t="str">
        <f t="shared" si="0"/>
        <v>Gas</v>
      </c>
      <c r="F13" s="8" t="str">
        <f t="shared" si="1"/>
        <v>ELEBIO,ELECOA,ELEELC,ELEGAS</v>
      </c>
    </row>
    <row r="14" spans="1:6">
      <c r="A14" s="7" t="s">
        <v>61</v>
      </c>
      <c r="B14" s="7" t="s">
        <v>8</v>
      </c>
      <c r="C14" s="7" t="str">
        <f t="shared" si="0"/>
        <v>Hydro</v>
      </c>
      <c r="F14" s="8" t="str">
        <f t="shared" si="1"/>
        <v>ELEBIO,ELECOA,ELEELC,ELEGAS,ELEHYD</v>
      </c>
    </row>
    <row r="15" spans="1:6">
      <c r="A15" s="7" t="s">
        <v>62</v>
      </c>
      <c r="B15" s="7" t="s">
        <v>9</v>
      </c>
      <c r="C15" s="7" t="str">
        <f t="shared" si="0"/>
        <v>Nuclear</v>
      </c>
      <c r="F15" s="8" t="str">
        <f t="shared" si="1"/>
        <v>ELEBIO,ELECOA,ELEELC,ELEGAS,ELEHYD,ELENUC</v>
      </c>
    </row>
    <row r="16" spans="1:6">
      <c r="A16" s="7" t="s">
        <v>79</v>
      </c>
      <c r="B16" s="7" t="s">
        <v>10</v>
      </c>
      <c r="C16" s="7" t="str">
        <f t="shared" si="0"/>
        <v>Oil</v>
      </c>
      <c r="F16" s="8" t="str">
        <f t="shared" si="1"/>
        <v>ELEBIO,ELECOA,ELEELC,ELEGAS,ELEHYD,ELENUC,ELEOIL</v>
      </c>
    </row>
    <row r="17" spans="1:6">
      <c r="A17" s="7" t="s">
        <v>63</v>
      </c>
      <c r="B17" s="7" t="s">
        <v>11</v>
      </c>
      <c r="C17" s="7" t="str">
        <f t="shared" si="0"/>
        <v>Solar</v>
      </c>
      <c r="F17" s="8" t="str">
        <f t="shared" si="1"/>
        <v>ELEBIO,ELECOA,ELEELC,ELEGAS,ELEHYD,ELENUC,ELEOIL,ELESOL</v>
      </c>
    </row>
    <row r="18" spans="1:6">
      <c r="A18" s="7" t="s">
        <v>60</v>
      </c>
      <c r="B18" s="7" t="s">
        <v>12</v>
      </c>
      <c r="C18" s="7" t="str">
        <f t="shared" si="0"/>
        <v>Wind</v>
      </c>
      <c r="F18" s="8" t="str">
        <f t="shared" si="1"/>
        <v>ELEBIO,ELECOA,ELEELC,ELEGAS,ELEHYD,ELENUC,ELEOIL,ELESOL,ELEWIN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CFA4E-267F-4993-9230-2657ED664080}">
  <dimension ref="A1:J35"/>
  <sheetViews>
    <sheetView tabSelected="1" workbookViewId="0">
      <selection activeCell="C36" sqref="C36"/>
    </sheetView>
  </sheetViews>
  <sheetFormatPr defaultRowHeight="15"/>
  <cols>
    <col min="1" max="1" width="11.28515625" bestFit="1" customWidth="1"/>
    <col min="2" max="2" width="13.7109375" bestFit="1" customWidth="1"/>
    <col min="3" max="3" width="11.5703125" bestFit="1" customWidth="1"/>
  </cols>
  <sheetData>
    <row r="1" spans="1:6">
      <c r="A1" t="s">
        <v>132</v>
      </c>
    </row>
    <row r="2" spans="1:6">
      <c r="A2" t="s">
        <v>133</v>
      </c>
      <c r="B2" t="s">
        <v>134</v>
      </c>
      <c r="C2" t="s">
        <v>135</v>
      </c>
    </row>
    <row r="3" spans="1:6">
      <c r="A3" t="s">
        <v>136</v>
      </c>
      <c r="B3" t="str">
        <f>"*"&amp;F3&amp;"*"</f>
        <v>*Agriculture*</v>
      </c>
      <c r="C3" t="str">
        <f>F3</f>
        <v>Agriculture</v>
      </c>
      <c r="F3" t="s">
        <v>23</v>
      </c>
    </row>
    <row r="4" spans="1:6">
      <c r="A4" s="7" t="s">
        <v>136</v>
      </c>
      <c r="B4" s="7" t="str">
        <f t="shared" ref="B4:B9" si="0">"*"&amp;F4&amp;"*"</f>
        <v>*Commercial*</v>
      </c>
      <c r="C4" s="7" t="str">
        <f t="shared" ref="C4:C23" si="1">F4</f>
        <v>Commercial</v>
      </c>
      <c r="F4" t="s">
        <v>14</v>
      </c>
    </row>
    <row r="5" spans="1:6">
      <c r="A5" s="7" t="s">
        <v>136</v>
      </c>
      <c r="B5" s="7" t="str">
        <f t="shared" si="0"/>
        <v>*Industry*</v>
      </c>
      <c r="C5" s="7" t="str">
        <f t="shared" si="1"/>
        <v>Industry</v>
      </c>
      <c r="F5" t="s">
        <v>6</v>
      </c>
    </row>
    <row r="6" spans="1:6">
      <c r="A6" s="7" t="s">
        <v>136</v>
      </c>
      <c r="B6" s="7" t="str">
        <f t="shared" si="0"/>
        <v>*Residential*</v>
      </c>
      <c r="C6" s="7" t="str">
        <f t="shared" si="1"/>
        <v>Residential</v>
      </c>
      <c r="F6" t="s">
        <v>15</v>
      </c>
    </row>
    <row r="7" spans="1:6">
      <c r="A7" s="7" t="s">
        <v>136</v>
      </c>
      <c r="B7" s="7" t="str">
        <f t="shared" si="0"/>
        <v>*Transport*</v>
      </c>
      <c r="C7" s="7" t="str">
        <f t="shared" si="1"/>
        <v>Transport</v>
      </c>
      <c r="F7" t="s">
        <v>7</v>
      </c>
    </row>
    <row r="8" spans="1:6">
      <c r="A8" s="7" t="s">
        <v>136</v>
      </c>
      <c r="B8" s="7" t="str">
        <f t="shared" si="0"/>
        <v>*Trade*</v>
      </c>
      <c r="C8" s="7" t="str">
        <f t="shared" si="1"/>
        <v>Trade</v>
      </c>
      <c r="F8" t="s">
        <v>109</v>
      </c>
    </row>
    <row r="9" spans="1:6">
      <c r="A9" s="7" t="s">
        <v>136</v>
      </c>
      <c r="B9" s="7" t="str">
        <f t="shared" si="0"/>
        <v>*DumImp*</v>
      </c>
      <c r="C9" s="7" t="str">
        <f t="shared" si="1"/>
        <v>DumImp</v>
      </c>
      <c r="F9" t="s">
        <v>111</v>
      </c>
    </row>
    <row r="10" spans="1:6">
      <c r="A10" s="7" t="s">
        <v>137</v>
      </c>
      <c r="B10" s="7" t="str">
        <f>"*_"&amp;F10</f>
        <v>*_Bio</v>
      </c>
      <c r="C10" s="7" t="str">
        <f t="shared" si="1"/>
        <v>Bio</v>
      </c>
      <c r="F10" t="s">
        <v>3</v>
      </c>
    </row>
    <row r="11" spans="1:6">
      <c r="A11" s="7" t="s">
        <v>137</v>
      </c>
      <c r="B11" s="7" t="str">
        <f t="shared" ref="B11:B18" si="2">"*_"&amp;F11</f>
        <v>*_Coal</v>
      </c>
      <c r="C11" s="7" t="str">
        <f t="shared" si="1"/>
        <v>Coal</v>
      </c>
      <c r="F11" t="s">
        <v>4</v>
      </c>
    </row>
    <row r="12" spans="1:6">
      <c r="A12" s="7" t="s">
        <v>137</v>
      </c>
      <c r="B12" s="7" t="str">
        <f t="shared" si="2"/>
        <v>*_Storage</v>
      </c>
      <c r="C12" s="7" t="str">
        <f t="shared" si="1"/>
        <v>Storage</v>
      </c>
      <c r="F12" t="s">
        <v>92</v>
      </c>
    </row>
    <row r="13" spans="1:6">
      <c r="A13" s="7" t="s">
        <v>137</v>
      </c>
      <c r="B13" s="7" t="str">
        <f t="shared" si="2"/>
        <v>*_Gas</v>
      </c>
      <c r="C13" s="7" t="str">
        <f t="shared" si="1"/>
        <v>Gas</v>
      </c>
      <c r="F13" t="s">
        <v>5</v>
      </c>
    </row>
    <row r="14" spans="1:6">
      <c r="A14" s="7" t="s">
        <v>137</v>
      </c>
      <c r="B14" s="7" t="str">
        <f t="shared" si="2"/>
        <v>*_Hydro</v>
      </c>
      <c r="C14" s="7" t="str">
        <f t="shared" si="1"/>
        <v>Hydro</v>
      </c>
      <c r="F14" t="s">
        <v>8</v>
      </c>
    </row>
    <row r="15" spans="1:6">
      <c r="A15" s="7" t="s">
        <v>137</v>
      </c>
      <c r="B15" s="7" t="str">
        <f t="shared" si="2"/>
        <v>*_Nuclear</v>
      </c>
      <c r="C15" s="7" t="str">
        <f t="shared" si="1"/>
        <v>Nuclear</v>
      </c>
      <c r="F15" t="s">
        <v>9</v>
      </c>
    </row>
    <row r="16" spans="1:6">
      <c r="A16" s="7" t="s">
        <v>137</v>
      </c>
      <c r="B16" s="7" t="str">
        <f t="shared" si="2"/>
        <v>*_Oil</v>
      </c>
      <c r="C16" s="7" t="str">
        <f t="shared" si="1"/>
        <v>Oil</v>
      </c>
      <c r="F16" t="s">
        <v>10</v>
      </c>
    </row>
    <row r="17" spans="1:10">
      <c r="A17" s="7" t="s">
        <v>137</v>
      </c>
      <c r="B17" s="7" t="str">
        <f t="shared" si="2"/>
        <v>*_Solar</v>
      </c>
      <c r="C17" s="7" t="str">
        <f t="shared" si="1"/>
        <v>Solar</v>
      </c>
      <c r="F17" t="s">
        <v>11</v>
      </c>
    </row>
    <row r="18" spans="1:10">
      <c r="A18" s="7" t="s">
        <v>137</v>
      </c>
      <c r="B18" s="7" t="str">
        <f t="shared" si="2"/>
        <v>*_Wind</v>
      </c>
      <c r="C18" s="7" t="str">
        <f t="shared" si="1"/>
        <v>Wind</v>
      </c>
      <c r="F18" t="s">
        <v>12</v>
      </c>
    </row>
    <row r="19" spans="1:10">
      <c r="A19" t="s">
        <v>138</v>
      </c>
      <c r="B19" t="str">
        <f>"*-"&amp;F19</f>
        <v>*-Elec</v>
      </c>
      <c r="C19" s="7" t="str">
        <f t="shared" si="1"/>
        <v>Elec</v>
      </c>
      <c r="F19" t="str">
        <f>MID(H19,11,10)</f>
        <v>Elec</v>
      </c>
      <c r="H19" t="s">
        <v>120</v>
      </c>
    </row>
    <row r="20" spans="1:10">
      <c r="A20" s="7" t="s">
        <v>138</v>
      </c>
      <c r="B20" s="7" t="str">
        <f t="shared" ref="B20:B23" si="3">"*-"&amp;F20</f>
        <v>*-Gas</v>
      </c>
      <c r="C20" s="7" t="str">
        <f t="shared" si="1"/>
        <v>Gas</v>
      </c>
      <c r="F20" s="7" t="str">
        <f t="shared" ref="F20:F23" si="4">MID(H20,11,10)</f>
        <v>Gas</v>
      </c>
      <c r="H20" t="s">
        <v>121</v>
      </c>
    </row>
    <row r="21" spans="1:10">
      <c r="A21" s="7" t="s">
        <v>138</v>
      </c>
      <c r="B21" s="7" t="str">
        <f t="shared" si="3"/>
        <v>*-Oil</v>
      </c>
      <c r="C21" s="7" t="str">
        <f t="shared" si="1"/>
        <v>Oil</v>
      </c>
      <c r="F21" s="7" t="str">
        <f t="shared" si="4"/>
        <v>Oil</v>
      </c>
      <c r="H21" t="s">
        <v>122</v>
      </c>
    </row>
    <row r="22" spans="1:10">
      <c r="A22" s="7" t="s">
        <v>138</v>
      </c>
      <c r="B22" s="7" t="str">
        <f t="shared" si="3"/>
        <v>*-Rnw</v>
      </c>
      <c r="C22" s="7" t="str">
        <f t="shared" si="1"/>
        <v>Rnw</v>
      </c>
      <c r="F22" s="7" t="str">
        <f t="shared" si="4"/>
        <v>Rnw</v>
      </c>
      <c r="H22" t="s">
        <v>123</v>
      </c>
    </row>
    <row r="23" spans="1:10">
      <c r="A23" s="7" t="s">
        <v>138</v>
      </c>
      <c r="B23" s="7" t="str">
        <f t="shared" si="3"/>
        <v>*-Solid</v>
      </c>
      <c r="C23" s="7" t="str">
        <f t="shared" si="1"/>
        <v>Solid</v>
      </c>
      <c r="F23" s="7" t="str">
        <f t="shared" si="4"/>
        <v>Solid</v>
      </c>
      <c r="H23" t="s">
        <v>124</v>
      </c>
    </row>
    <row r="24" spans="1:10">
      <c r="A24" t="s">
        <v>139</v>
      </c>
      <c r="B24" t="str">
        <f>LEFT(J24,FIND("_",J24))&amp;"*"</f>
        <v>ECap_*</v>
      </c>
      <c r="C24" t="s">
        <v>140</v>
      </c>
      <c r="J24" t="s">
        <v>87</v>
      </c>
    </row>
    <row r="25" spans="1:10">
      <c r="A25" s="7" t="s">
        <v>139</v>
      </c>
      <c r="B25" s="7" t="str">
        <f t="shared" ref="B25:B35" si="5">LEFT(J25,FIND("_",J25))&amp;"*"</f>
        <v>NewCap_*</v>
      </c>
      <c r="C25" t="s">
        <v>141</v>
      </c>
      <c r="J25" t="s">
        <v>73</v>
      </c>
    </row>
    <row r="26" spans="1:10">
      <c r="A26" s="7" t="s">
        <v>139</v>
      </c>
      <c r="B26" s="7" t="str">
        <f t="shared" si="5"/>
        <v>EProd_*</v>
      </c>
      <c r="C26" t="s">
        <v>142</v>
      </c>
      <c r="J26" t="s">
        <v>80</v>
      </c>
    </row>
    <row r="27" spans="1:10">
      <c r="A27" s="7" t="s">
        <v>139</v>
      </c>
      <c r="B27" s="7" t="str">
        <f t="shared" si="5"/>
        <v>Emi_*</v>
      </c>
      <c r="C27" t="s">
        <v>143</v>
      </c>
      <c r="J27" t="s">
        <v>64</v>
      </c>
    </row>
    <row r="28" spans="1:10">
      <c r="A28" s="7" t="s">
        <v>139</v>
      </c>
      <c r="B28" s="7" t="str">
        <f t="shared" si="5"/>
        <v>EFuel_*</v>
      </c>
      <c r="C28" t="s">
        <v>144</v>
      </c>
      <c r="J28" t="s">
        <v>49</v>
      </c>
    </row>
    <row r="29" spans="1:10">
      <c r="A29" s="7" t="s">
        <v>139</v>
      </c>
      <c r="B29" s="7" t="str">
        <f t="shared" si="5"/>
        <v>Price_*</v>
      </c>
      <c r="C29" t="s">
        <v>145</v>
      </c>
      <c r="J29" t="s">
        <v>76</v>
      </c>
    </row>
    <row r="30" spans="1:10">
      <c r="A30" s="7" t="s">
        <v>139</v>
      </c>
      <c r="B30" s="7" t="str">
        <f t="shared" si="5"/>
        <v>ICost_*</v>
      </c>
      <c r="C30" t="s">
        <v>146</v>
      </c>
      <c r="J30" t="s">
        <v>57</v>
      </c>
    </row>
    <row r="31" spans="1:10">
      <c r="A31" s="7" t="s">
        <v>139</v>
      </c>
      <c r="B31" s="7" t="str">
        <f t="shared" si="5"/>
        <v>Elec_*</v>
      </c>
      <c r="C31" t="s">
        <v>109</v>
      </c>
      <c r="J31" t="s">
        <v>96</v>
      </c>
    </row>
    <row r="32" spans="1:10">
      <c r="A32" s="7" t="s">
        <v>139</v>
      </c>
      <c r="B32" s="7" t="str">
        <f t="shared" si="5"/>
        <v>FE_*</v>
      </c>
      <c r="C32" t="s">
        <v>147</v>
      </c>
      <c r="J32" t="s">
        <v>120</v>
      </c>
    </row>
    <row r="33" spans="1:10">
      <c r="A33" t="s">
        <v>139</v>
      </c>
      <c r="B33" t="str">
        <f t="shared" si="5"/>
        <v>co2int_*</v>
      </c>
      <c r="C33" t="s">
        <v>151</v>
      </c>
      <c r="J33" t="s">
        <v>148</v>
      </c>
    </row>
    <row r="34" spans="1:10">
      <c r="A34" s="7" t="s">
        <v>139</v>
      </c>
      <c r="B34" t="str">
        <f t="shared" si="5"/>
        <v>eff_*</v>
      </c>
      <c r="C34" t="s">
        <v>152</v>
      </c>
      <c r="J34" t="s">
        <v>149</v>
      </c>
    </row>
    <row r="35" spans="1:10">
      <c r="A35" s="7" t="s">
        <v>139</v>
      </c>
      <c r="B35" t="str">
        <f t="shared" si="5"/>
        <v>cf_*</v>
      </c>
      <c r="C35" t="s">
        <v>153</v>
      </c>
      <c r="J35" t="s">
        <v>150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7" bestFit="1" customWidth="1"/>
    <col min="2" max="2" width="14.140625" style="7" bestFit="1" customWidth="1"/>
    <col min="3" max="3" width="36.425781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3">
      <c r="A1" s="1" t="s">
        <v>52</v>
      </c>
    </row>
    <row r="2" spans="1:3">
      <c r="A2" s="7" t="s">
        <v>53</v>
      </c>
      <c r="B2" s="7" t="s">
        <v>1</v>
      </c>
      <c r="C2" s="7" t="s">
        <v>24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100</v>
      </c>
    </row>
    <row r="2" spans="1:7">
      <c r="A2" t="s">
        <v>68</v>
      </c>
      <c r="B2" t="s">
        <v>22</v>
      </c>
      <c r="C2" t="s">
        <v>101</v>
      </c>
      <c r="D2" t="s">
        <v>13</v>
      </c>
      <c r="E2" t="s">
        <v>0</v>
      </c>
      <c r="F2" t="s">
        <v>102</v>
      </c>
      <c r="G2" t="s">
        <v>103</v>
      </c>
    </row>
    <row r="3" spans="1:7">
      <c r="F3" s="6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  <row r="8" spans="1:7">
      <c r="A8" s="7"/>
      <c r="B8" s="7"/>
      <c r="C8" s="7"/>
      <c r="D8" s="7"/>
      <c r="E8" s="7"/>
      <c r="F8" s="7"/>
      <c r="G8" s="7"/>
    </row>
    <row r="9" spans="1:7">
      <c r="A9" s="7"/>
      <c r="B9" s="7"/>
      <c r="C9" s="7"/>
      <c r="D9" s="7"/>
      <c r="E9" s="7"/>
      <c r="F9" s="7"/>
      <c r="G9" s="7"/>
    </row>
    <row r="10" spans="1:7">
      <c r="A10" s="7"/>
      <c r="B10" s="7"/>
      <c r="C10" s="7"/>
      <c r="D10" s="7"/>
      <c r="E10" s="7"/>
      <c r="F10" s="7"/>
      <c r="G10" s="7"/>
    </row>
    <row r="11" spans="1:7">
      <c r="A11" s="7"/>
      <c r="B11" s="7"/>
      <c r="C11" s="7"/>
      <c r="D11" s="7"/>
      <c r="E11" s="7"/>
      <c r="F11" s="7"/>
      <c r="G11" s="7"/>
    </row>
    <row r="12" spans="1:7">
      <c r="A12" s="7"/>
      <c r="B12" s="7"/>
      <c r="C12" s="7"/>
      <c r="D12" s="7"/>
      <c r="E12" s="7"/>
      <c r="F12" s="7"/>
      <c r="G12" s="7"/>
    </row>
    <row r="13" spans="1:7">
      <c r="A13" s="7"/>
      <c r="B13" s="7"/>
      <c r="C13" s="7"/>
      <c r="D13" s="7"/>
      <c r="E13" s="7"/>
      <c r="F13" s="7"/>
      <c r="G13" s="7"/>
    </row>
    <row r="14" spans="1:7">
      <c r="A14" s="7"/>
      <c r="B14" s="7"/>
      <c r="C14" s="7"/>
      <c r="D14" s="7"/>
      <c r="E14" s="7"/>
      <c r="F14" s="7"/>
      <c r="G14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7"/>
    <col min="2" max="2" width="7.5703125" style="7" bestFit="1" customWidth="1"/>
    <col min="3" max="3" width="17.28515625" style="7" bestFit="1" customWidth="1"/>
    <col min="4" max="4" width="8" style="7" bestFit="1" customWidth="1"/>
    <col min="5" max="5" width="9.140625" style="7"/>
    <col min="6" max="6" width="2" style="7" bestFit="1" customWidth="1"/>
    <col min="7" max="7" width="12.7109375" style="7" bestFit="1" customWidth="1"/>
    <col min="8" max="8" width="5" style="7" bestFit="1" customWidth="1"/>
    <col min="9" max="9" width="2" style="7" bestFit="1" customWidth="1"/>
    <col min="10" max="10" width="5" style="7" bestFit="1" customWidth="1"/>
    <col min="11" max="16384" width="9.140625" style="7"/>
  </cols>
  <sheetData>
    <row r="1" spans="1:4">
      <c r="A1" s="7" t="s">
        <v>67</v>
      </c>
    </row>
    <row r="2" spans="1:4">
      <c r="A2" s="7" t="s">
        <v>68</v>
      </c>
      <c r="B2" s="1" t="s">
        <v>69</v>
      </c>
      <c r="C2" s="1" t="s">
        <v>70</v>
      </c>
      <c r="D2" s="1" t="s">
        <v>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ScenMap</vt:lpstr>
      <vt:lpstr>TS_Defs</vt:lpstr>
      <vt:lpstr>PSet_MAP</vt:lpstr>
      <vt:lpstr>varbl map</vt:lpstr>
      <vt:lpstr>CName_MAP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2021-06-18T10:25:26Z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908306300640106</vt:r8>
  </property>
</Properties>
</file>